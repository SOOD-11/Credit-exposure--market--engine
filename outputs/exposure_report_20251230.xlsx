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lientA" sheetId="2" state="visible" r:id="rId4"/>
    <sheet name="ClientB" sheetId="3" state="visible" r:id="rId5"/>
    <sheet name="ClientC" sheetId="4" state="visible" r:id="rId6"/>
    <sheet name="Backtest" sheetId="5" state="visible" r:id="rId7"/>
    <sheet name="Assump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<sst xmlns="http://schemas.openxmlformats.org/spreadsheetml/2006/main" count="154" uniqueCount="95">
  <si>
    <t xml:space="preserve">Counterparty Exposure &amp; Initial Margin Report (SYNTHETIC CLIENTS)</t>
  </si>
  <si>
    <t xml:space="preserve">As-of date: 30 Dec 2025</t>
  </si>
  <si>
    <t xml:space="preserve">Blue = hardcoded input or model output from Python; black = Excel formula; green = link to another sheet. Exposure = MAX(-MTM - collateral, 0). Margin call = MAX(initial margin - collateral, 0). Potential exposure = MAX(-(MTM - IM) - collateral, 0), the figure the limit is tested against.</t>
  </si>
  <si>
    <t xml:space="preserve">Client</t>
  </si>
  <si>
    <t xml:space="preserve">Gross Notional ($)</t>
  </si>
  <si>
    <t xml:space="preserve">MTM to Client ($)</t>
  </si>
  <si>
    <t xml:space="preserve">Collateral Held ($)</t>
  </si>
  <si>
    <t xml:space="preserve">Current Exposure ($)</t>
  </si>
  <si>
    <t xml:space="preserve">Initial Margin 99%/10d ($)</t>
  </si>
  <si>
    <t xml:space="preserve">Expected Shortfall ($)</t>
  </si>
  <si>
    <t xml:space="preserve">Margin Call ($)</t>
  </si>
  <si>
    <t xml:space="preserve">Potential Exposure ($)</t>
  </si>
  <si>
    <t xml:space="preserve">Exposure Limit ($)</t>
  </si>
  <si>
    <t xml:space="preserve">Limit Status</t>
  </si>
  <si>
    <t xml:space="preserve">Margin Status</t>
  </si>
  <si>
    <t xml:space="preserve">Daily Commentary</t>
  </si>
  <si>
    <t xml:space="preserve">A: Diversified Long Equity Fund</t>
  </si>
  <si>
    <t xml:space="preserve">Client MTM fell $183,901 vs prior close, mainly WMT (-54,483); client is in the money, so no uncovered exposure today. Potential exposure after a 99%/10d shock $0 is within limit ($3,000,000); margin $5,642,384 vs collateral $10,002,193.</t>
  </si>
  <si>
    <t xml:space="preserve">B: Concentrated Single-Stock Fund</t>
  </si>
  <si>
    <t xml:space="preserve">Client MTM fell $410,364 vs prior close, mainly TSLA (-458,482); client is in the money, so no uncovered exposure today. Potential exposure after a 99%/10d shock $4,707,885 is ABOVE limit ($2,000,000); margin $13,244,298 vs collateral $5,998,506.</t>
  </si>
  <si>
    <t xml:space="preserve">C: Mixed Equity &amp; Options Fund</t>
  </si>
  <si>
    <t xml:space="preserve">Client MTM rose $89,901 vs prior close, mainly CVX (+86,668); client is in the money, so no uncovered exposure today. Potential exposure after a 99%/10d shock $0 is within limit ($2,500,000); margin $5,580,628 vs collateral $7,997,118.</t>
  </si>
  <si>
    <t xml:space="preserve">Client A: Diversified Long Equity Fund (synthetic)</t>
  </si>
  <si>
    <t xml:space="preserve">Qty in shares (+ long swap, - written put). MTM = Qty x (Current unit value - Entry value). Unit values/Greeks are Black-Scholes outputs from Python (blue).</t>
  </si>
  <si>
    <t xml:space="preserve">Ticker</t>
  </si>
  <si>
    <t xml:space="preserve">Instrument</t>
  </si>
  <si>
    <t xml:space="preserve">Qty</t>
  </si>
  <si>
    <t xml:space="preserve">Strike</t>
  </si>
  <si>
    <t xml:space="preserve">Expiry</t>
  </si>
  <si>
    <t xml:space="preserve">Entry Value</t>
  </si>
  <si>
    <t xml:space="preserve">Current Unit Value</t>
  </si>
  <si>
    <t xml:space="preserve">MTM ($)</t>
  </si>
  <si>
    <t xml:space="preserve">Notional ($)</t>
  </si>
  <si>
    <t xml:space="preserve">Delta</t>
  </si>
  <si>
    <t xml:space="preserve">Gamma</t>
  </si>
  <si>
    <t xml:space="preserve">Vega (per vol pt)</t>
  </si>
  <si>
    <t xml:space="preserve">AAPL</t>
  </si>
  <si>
    <t xml:space="preserve">SWAP</t>
  </si>
  <si>
    <t xml:space="preserve">MSFT</t>
  </si>
  <si>
    <t xml:space="preserve">JNJ</t>
  </si>
  <si>
    <t xml:space="preserve">PG</t>
  </si>
  <si>
    <t xml:space="preserve">KO</t>
  </si>
  <si>
    <t xml:space="preserve">JPM</t>
  </si>
  <si>
    <t xml:space="preserve">WMT</t>
  </si>
  <si>
    <t xml:space="preserve">HD</t>
  </si>
  <si>
    <t xml:space="preserve">V</t>
  </si>
  <si>
    <t xml:space="preserve">XOM</t>
  </si>
  <si>
    <t xml:space="preserve">Total</t>
  </si>
  <si>
    <t xml:space="preserve">Client B: Concentrated Single-Stock Fund (synthetic)</t>
  </si>
  <si>
    <t xml:space="preserve">TSLA</t>
  </si>
  <si>
    <t xml:space="preserve">NVDA</t>
  </si>
  <si>
    <t xml:space="preserve">META</t>
  </si>
  <si>
    <t xml:space="preserve">AMZN</t>
  </si>
  <si>
    <t xml:space="preserve">Client C: Mixed Equity &amp; Options Fund (synthetic)</t>
  </si>
  <si>
    <t xml:space="preserve">GOOGL</t>
  </si>
  <si>
    <t xml:space="preserve">BAC</t>
  </si>
  <si>
    <t xml:space="preserve">CVX</t>
  </si>
  <si>
    <t xml:space="preserve">MA</t>
  </si>
  <si>
    <t xml:space="preserve">ABBV</t>
  </si>
  <si>
    <t xml:space="preserve">PUT</t>
  </si>
  <si>
    <t xml:space="preserve">Initial-margin model backtest (model outputs from Python)</t>
  </si>
  <si>
    <t xml:space="preserve">An 'exception' = realised 10-day loss larger than the margin. A 99% model should show about 1%. Kupiec p-value &lt; 0.05 means the exception rate is statistically inconsistent with 1%.</t>
  </si>
  <si>
    <t xml:space="preserve">Sample</t>
  </si>
  <si>
    <t xml:space="preserve">Test days</t>
  </si>
  <si>
    <t xml:space="preserve">Exceptions</t>
  </si>
  <si>
    <t xml:space="preserve">Exception rate</t>
  </si>
  <si>
    <t xml:space="preserve">Expected rate</t>
  </si>
  <si>
    <t xml:space="preserve">Kupiec LR</t>
  </si>
  <si>
    <t xml:space="preserve">Kupiec p-value</t>
  </si>
  <si>
    <t xml:space="preserve">A</t>
  </si>
  <si>
    <t xml:space="preserve">Every day (overlapping)</t>
  </si>
  <si>
    <t xml:space="preserve">Every 10th day (independent)</t>
  </si>
  <si>
    <t xml:space="preserve">B</t>
  </si>
  <si>
    <t xml:space="preserve">C</t>
  </si>
  <si>
    <t xml:space="preserve">Assumptions &amp; limitations</t>
  </si>
  <si>
    <t xml:space="preserve">Clients and trades</t>
  </si>
  <si>
    <t xml:space="preserve">Synthetic (seeded random entry dates). No real client data.</t>
  </si>
  <si>
    <t xml:space="preserve">Prices</t>
  </si>
  <si>
    <t xml:space="preserve">Daily adjusted closes, 20 US large caps, Jan 2015 - Dec 2025 (from the earlier yfinance download). No FX or rates.</t>
  </si>
  <si>
    <t xml:space="preserve">Instruments</t>
  </si>
  <si>
    <t xml:space="preserve">Total-return equity swaps (client long) and written European puts (Black-Scholes, no dividends).</t>
  </si>
  <si>
    <t xml:space="preserve">Risk-free rate</t>
  </si>
  <si>
    <t xml:space="preserve">4.0% flat (assumption, not looked up).</t>
  </si>
  <si>
    <t xml:space="preserve">Option volatility</t>
  </si>
  <si>
    <t xml:space="preserve">Trailing 252-day realised volatility; held constant across scenarios (no vega risk in scenarios).</t>
  </si>
  <si>
    <t xml:space="preserve">Margin method</t>
  </si>
  <si>
    <t xml:space="preserve">Historical simulation: overlapping 10-day returns over a 504-day lookback applied to today's positions; 99% quantile.</t>
  </si>
  <si>
    <t xml:space="preserve">Concentration</t>
  </si>
  <si>
    <t xml:space="preserve">Names above 25% of gross notional get scenario moves scaled by sqrt(1.5) (longer close-out).</t>
  </si>
  <si>
    <t xml:space="preserve">Collateral</t>
  </si>
  <si>
    <t xml:space="preserve">Flat 10% of gross notional (the 'rule of thumb' the model is compared against).</t>
  </si>
  <si>
    <t xml:space="preserve">Netting</t>
  </si>
  <si>
    <t xml:space="preserve">One netting set per client; no cross-client offsets; no thresholds or minimum transfer amounts.</t>
  </si>
  <si>
    <t xml:space="preserve">Not modelled</t>
  </si>
  <si>
    <t xml:space="preserve">Intraday moves, liquidity costs, wrong-way correlation beyond what is in the data, credit quality of the client.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</si>
</sst>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#,##0;\(#,##0\)"/>
    <numFmt numFmtId="167" formatCode="0.00"/>
    <numFmt numFmtId="168" formatCode="0.000"/>
    <numFmt numFmtId="169" formatCode="dd\-mmm\-yy"/>
    <numFmt numFmtId="170" formatCode="0.0000"/>
    <numFmt numFmtId="171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6" customFormat="false" ht="31.5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</row>
    <row r="7" customFormat="false" ht="69.75" hidden="false" customHeight="true" outlineLevel="0" collapsed="false">
      <c r="A7" s="2" t="s">
        <v>16</v>
      </c>
      <c r="B7" s="5" t="n">
        <v>100021930.711365</v>
      </c>
      <c r="C7" s="6" t="n">
        <f aca="false">ClientA!H15</f>
        <v>1692455.62820434</v>
      </c>
      <c r="D7" s="5" t="n">
        <v>10002193</v>
      </c>
      <c r="E7" s="7" t="n">
        <f aca="false">MAX(-C7-D7,0)</f>
        <v>0</v>
      </c>
      <c r="F7" s="5" t="n">
        <v>5642383.65944228</v>
      </c>
      <c r="G7" s="5" t="n">
        <v>7251608.97813478</v>
      </c>
      <c r="H7" s="7" t="n">
        <f aca="false">MAX(F7-D7,0)</f>
        <v>0</v>
      </c>
      <c r="I7" s="7" t="n">
        <f aca="false">MAX(-(C7-F7)-D7,0)</f>
        <v>0</v>
      </c>
      <c r="J7" s="5" t="n">
        <v>3000000</v>
      </c>
      <c r="K7" s="2" t="str">
        <f aca="false">IF(I7&gt;J7,"BREACH","OK")</f>
        <v>OK</v>
      </c>
      <c r="L7" s="2" t="str">
        <f aca="false">IF(H7&gt;0,"CALL","OK")</f>
        <v>OK</v>
      </c>
      <c r="M7" s="8" t="s">
        <v>17</v>
      </c>
    </row>
    <row r="8" customFormat="false" ht="69.75" hidden="false" customHeight="true" outlineLevel="0" collapsed="false">
      <c r="A8" s="2" t="s">
        <v>18</v>
      </c>
      <c r="B8" s="5" t="n">
        <v>59985060.546875</v>
      </c>
      <c r="C8" s="6" t="n">
        <f aca="false">ClientB!H9</f>
        <v>2537907.06787109</v>
      </c>
      <c r="D8" s="5" t="n">
        <v>5998506</v>
      </c>
      <c r="E8" s="7" t="n">
        <f aca="false">MAX(-C8-D8,0)</f>
        <v>0</v>
      </c>
      <c r="F8" s="5" t="n">
        <v>13244298.3701256</v>
      </c>
      <c r="G8" s="5" t="n">
        <v>15351496.0252349</v>
      </c>
      <c r="H8" s="7" t="n">
        <f aca="false">MAX(F8-D8,0)</f>
        <v>7245792.37012557</v>
      </c>
      <c r="I8" s="7" t="n">
        <f aca="false">MAX(-(C8-F8)-D8,0)</f>
        <v>4707885.30225448</v>
      </c>
      <c r="J8" s="5" t="n">
        <v>2000000</v>
      </c>
      <c r="K8" s="2" t="str">
        <f aca="false">IF(I8&gt;J8,"BREACH","OK")</f>
        <v>BREACH</v>
      </c>
      <c r="L8" s="2" t="str">
        <f aca="false">IF(H8&gt;0,"CALL","OK")</f>
        <v>CALL</v>
      </c>
      <c r="M8" s="8" t="s">
        <v>19</v>
      </c>
    </row>
    <row r="9" customFormat="false" ht="69.75" hidden="false" customHeight="true" outlineLevel="0" collapsed="false">
      <c r="A9" s="2" t="s">
        <v>20</v>
      </c>
      <c r="B9" s="5" t="n">
        <v>79971176.027298</v>
      </c>
      <c r="C9" s="6" t="n">
        <f aca="false">ClientC!H13</f>
        <v>7570729.65193488</v>
      </c>
      <c r="D9" s="5" t="n">
        <v>7997118</v>
      </c>
      <c r="E9" s="7" t="n">
        <f aca="false">MAX(-C9-D9,0)</f>
        <v>0</v>
      </c>
      <c r="F9" s="5" t="n">
        <v>5580627.94955416</v>
      </c>
      <c r="G9" s="5" t="n">
        <v>8396893.57261347</v>
      </c>
      <c r="H9" s="7" t="n">
        <f aca="false">MAX(F9-D9,0)</f>
        <v>0</v>
      </c>
      <c r="I9" s="7" t="n">
        <f aca="false">MAX(-(C9-F9)-D9,0)</f>
        <v>0</v>
      </c>
      <c r="J9" s="5" t="n">
        <v>2500000</v>
      </c>
      <c r="K9" s="2" t="str">
        <f aca="false">IF(I9&gt;J9,"BREACH","OK")</f>
        <v>OK</v>
      </c>
      <c r="L9" s="2" t="str">
        <f aca="false">IF(H9&gt;0,"CALL","OK")</f>
        <v>OK</v>
      </c>
      <c r="M9" s="8" t="s">
        <v>21</v>
      </c>
    </row>
  </sheetData>
  <mergeCells count="1">
    <mergeCell ref="A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15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5"/>
  </cols>
  <sheetData>
    <row r="1" customFormat="false" ht="15" hidden="false" customHeight="false" outlineLevel="0" collapsed="false">
      <c r="A1" s="9" t="s">
        <v>22</v>
      </c>
    </row>
    <row r="2" customFormat="false" ht="15" hidden="false" customHeight="false" outlineLevel="0" collapsed="false">
      <c r="A2" s="10" t="s">
        <v>23</v>
      </c>
    </row>
    <row r="4" customFormat="false" ht="23.85" hidden="false" customHeight="false" outlineLevel="0" collapsed="false">
      <c r="A4" s="11" t="s">
        <v>24</v>
      </c>
      <c r="B4" s="11" t="s">
        <v>25</v>
      </c>
      <c r="C4" s="11" t="s">
        <v>26</v>
      </c>
      <c r="D4" s="11" t="s">
        <v>27</v>
      </c>
      <c r="E4" s="11" t="s">
        <v>28</v>
      </c>
      <c r="F4" s="11" t="s">
        <v>29</v>
      </c>
      <c r="G4" s="11" t="s">
        <v>30</v>
      </c>
      <c r="H4" s="11" t="s">
        <v>31</v>
      </c>
      <c r="I4" s="11" t="s">
        <v>32</v>
      </c>
      <c r="J4" s="11" t="s">
        <v>33</v>
      </c>
      <c r="K4" s="11" t="s">
        <v>34</v>
      </c>
      <c r="L4" s="11" t="s">
        <v>35</v>
      </c>
    </row>
    <row r="5" customFormat="false" ht="15" hidden="false" customHeight="false" outlineLevel="0" collapsed="false">
      <c r="A5" s="2" t="s">
        <v>36</v>
      </c>
      <c r="B5" s="2" t="s">
        <v>37</v>
      </c>
      <c r="C5" s="12" t="n">
        <v>36700</v>
      </c>
      <c r="D5" s="13"/>
      <c r="E5" s="13"/>
      <c r="F5" s="14" t="n">
        <v>267.190002441406</v>
      </c>
      <c r="G5" s="14" t="n">
        <v>272.82470703125</v>
      </c>
      <c r="H5" s="7" t="n">
        <f aca="false">C5*(G5-F5)</f>
        <v>206793.658447268</v>
      </c>
      <c r="I5" s="5" t="n">
        <v>10012666.7480469</v>
      </c>
      <c r="J5" s="15" t="n">
        <v>1</v>
      </c>
      <c r="K5" s="13"/>
      <c r="L5" s="13"/>
    </row>
    <row r="6" customFormat="false" ht="15" hidden="false" customHeight="false" outlineLevel="0" collapsed="false">
      <c r="A6" s="2" t="s">
        <v>38</v>
      </c>
      <c r="B6" s="2" t="s">
        <v>37</v>
      </c>
      <c r="C6" s="12" t="n">
        <v>20600</v>
      </c>
      <c r="D6" s="13"/>
      <c r="E6" s="13"/>
      <c r="F6" s="14" t="n">
        <v>526.183349609375</v>
      </c>
      <c r="G6" s="14" t="n">
        <v>486.369903564453</v>
      </c>
      <c r="H6" s="7" t="n">
        <f aca="false">C6*(G6-F6)</f>
        <v>-820156.988525391</v>
      </c>
      <c r="I6" s="5" t="n">
        <v>10019220.0134277</v>
      </c>
      <c r="J6" s="15" t="n">
        <v>1</v>
      </c>
      <c r="K6" s="13"/>
      <c r="L6" s="13"/>
    </row>
    <row r="7" customFormat="false" ht="15" hidden="false" customHeight="false" outlineLevel="0" collapsed="false">
      <c r="A7" s="2" t="s">
        <v>39</v>
      </c>
      <c r="B7" s="2" t="s">
        <v>37</v>
      </c>
      <c r="C7" s="12" t="n">
        <v>48600</v>
      </c>
      <c r="D7" s="13"/>
      <c r="E7" s="13"/>
      <c r="F7" s="14" t="n">
        <v>173.421142578125</v>
      </c>
      <c r="G7" s="14" t="n">
        <v>205.815856933594</v>
      </c>
      <c r="H7" s="7" t="n">
        <f aca="false">C7*(G7-F7)</f>
        <v>1574383.11767578</v>
      </c>
      <c r="I7" s="5" t="n">
        <v>10002650.6469727</v>
      </c>
      <c r="J7" s="15" t="n">
        <v>1</v>
      </c>
      <c r="K7" s="13"/>
      <c r="L7" s="13"/>
    </row>
    <row r="8" customFormat="false" ht="15" hidden="false" customHeight="false" outlineLevel="0" collapsed="false">
      <c r="A8" s="2" t="s">
        <v>40</v>
      </c>
      <c r="B8" s="2" t="s">
        <v>37</v>
      </c>
      <c r="C8" s="12" t="n">
        <v>69900</v>
      </c>
      <c r="D8" s="13"/>
      <c r="E8" s="13"/>
      <c r="F8" s="14" t="n">
        <v>151.507278442383</v>
      </c>
      <c r="G8" s="14" t="n">
        <v>143.034454345703</v>
      </c>
      <c r="H8" s="7" t="n">
        <f aca="false">C8*(G8-F8)</f>
        <v>-592250.404357912</v>
      </c>
      <c r="I8" s="5" t="n">
        <v>9998108.35876465</v>
      </c>
      <c r="J8" s="15" t="n">
        <v>1</v>
      </c>
      <c r="K8" s="13"/>
      <c r="L8" s="13"/>
    </row>
    <row r="9" customFormat="false" ht="15" hidden="false" customHeight="false" outlineLevel="0" collapsed="false">
      <c r="A9" s="2" t="s">
        <v>41</v>
      </c>
      <c r="B9" s="2" t="s">
        <v>37</v>
      </c>
      <c r="C9" s="12" t="n">
        <v>143700</v>
      </c>
      <c r="D9" s="13"/>
      <c r="E9" s="13"/>
      <c r="F9" s="14" t="n">
        <v>65.4076843261719</v>
      </c>
      <c r="G9" s="14" t="n">
        <v>69.5914916992188</v>
      </c>
      <c r="H9" s="7" t="n">
        <f aca="false">C9*(G9-F9)</f>
        <v>601213.119506836</v>
      </c>
      <c r="I9" s="5" t="n">
        <v>10000297.3571777</v>
      </c>
      <c r="J9" s="15" t="n">
        <v>1</v>
      </c>
      <c r="K9" s="13"/>
      <c r="L9" s="13"/>
    </row>
    <row r="10" customFormat="false" ht="15" hidden="false" customHeight="false" outlineLevel="0" collapsed="false">
      <c r="A10" s="2" t="s">
        <v>42</v>
      </c>
      <c r="B10" s="2" t="s">
        <v>37</v>
      </c>
      <c r="C10" s="12" t="n">
        <v>31200</v>
      </c>
      <c r="D10" s="13"/>
      <c r="E10" s="13"/>
      <c r="F10" s="14" t="n">
        <v>291.988555908203</v>
      </c>
      <c r="G10" s="14" t="n">
        <v>320.328338623047</v>
      </c>
      <c r="H10" s="7" t="n">
        <f aca="false">C10*(G10-F10)</f>
        <v>884201.220703125</v>
      </c>
      <c r="I10" s="5" t="n">
        <v>9994244.16503906</v>
      </c>
      <c r="J10" s="15" t="n">
        <v>1</v>
      </c>
      <c r="K10" s="13"/>
      <c r="L10" s="13"/>
    </row>
    <row r="11" customFormat="false" ht="15" hidden="false" customHeight="false" outlineLevel="0" collapsed="false">
      <c r="A11" s="2" t="s">
        <v>43</v>
      </c>
      <c r="B11" s="2" t="s">
        <v>37</v>
      </c>
      <c r="C11" s="12" t="n">
        <v>89500</v>
      </c>
      <c r="D11" s="13"/>
      <c r="E11" s="13"/>
      <c r="F11" s="14" t="n">
        <v>100.976509094238</v>
      </c>
      <c r="G11" s="14" t="n">
        <v>111.690780639648</v>
      </c>
      <c r="H11" s="7" t="n">
        <f aca="false">C11*(G11-F11)</f>
        <v>958927.303314204</v>
      </c>
      <c r="I11" s="5" t="n">
        <v>9996324.86724854</v>
      </c>
      <c r="J11" s="15" t="n">
        <v>1</v>
      </c>
      <c r="K11" s="13"/>
      <c r="L11" s="13"/>
    </row>
    <row r="12" customFormat="false" ht="15" hidden="false" customHeight="false" outlineLevel="0" collapsed="false">
      <c r="A12" s="2" t="s">
        <v>44</v>
      </c>
      <c r="B12" s="2" t="s">
        <v>37</v>
      </c>
      <c r="C12" s="12" t="n">
        <v>29100</v>
      </c>
      <c r="D12" s="13"/>
      <c r="E12" s="13"/>
      <c r="F12" s="14" t="n">
        <v>405.115173339844</v>
      </c>
      <c r="G12" s="14" t="n">
        <v>344.049835205078</v>
      </c>
      <c r="H12" s="7" t="n">
        <f aca="false">C12*(G12-F12)</f>
        <v>-1777001.33972168</v>
      </c>
      <c r="I12" s="5" t="n">
        <v>10011850.2044678</v>
      </c>
      <c r="J12" s="15" t="n">
        <v>1</v>
      </c>
      <c r="K12" s="13"/>
      <c r="L12" s="13"/>
    </row>
    <row r="13" customFormat="false" ht="15" hidden="false" customHeight="false" outlineLevel="0" collapsed="false">
      <c r="A13" s="2" t="s">
        <v>45</v>
      </c>
      <c r="B13" s="2" t="s">
        <v>37</v>
      </c>
      <c r="C13" s="12" t="n">
        <v>28300</v>
      </c>
      <c r="D13" s="13"/>
      <c r="E13" s="13"/>
      <c r="F13" s="14" t="n">
        <v>339.366607666016</v>
      </c>
      <c r="G13" s="14" t="n">
        <v>352.892303466797</v>
      </c>
      <c r="H13" s="7" t="n">
        <f aca="false">C13*(G13-F13)</f>
        <v>382777.191162109</v>
      </c>
      <c r="I13" s="5" t="n">
        <v>9986852.18811035</v>
      </c>
      <c r="J13" s="15" t="n">
        <v>1</v>
      </c>
      <c r="K13" s="13"/>
      <c r="L13" s="13"/>
    </row>
    <row r="14" customFormat="false" ht="15" hidden="false" customHeight="false" outlineLevel="0" collapsed="false">
      <c r="A14" s="2" t="s">
        <v>46</v>
      </c>
      <c r="B14" s="2" t="s">
        <v>37</v>
      </c>
      <c r="C14" s="12" t="n">
        <v>83200</v>
      </c>
      <c r="D14" s="13"/>
      <c r="E14" s="13"/>
      <c r="F14" s="14" t="n">
        <v>116.900810241699</v>
      </c>
      <c r="G14" s="14" t="n">
        <v>120.188896179199</v>
      </c>
      <c r="H14" s="7" t="n">
        <f aca="false">C14*(G14-F14)</f>
        <v>273568.75</v>
      </c>
      <c r="I14" s="5" t="n">
        <v>9999716.16210938</v>
      </c>
      <c r="J14" s="15" t="n">
        <v>1</v>
      </c>
      <c r="K14" s="13"/>
      <c r="L14" s="13"/>
    </row>
    <row r="15" customFormat="false" ht="15" hidden="false" customHeight="false" outlineLevel="0" collapsed="false">
      <c r="A15" s="16" t="s">
        <v>47</v>
      </c>
      <c r="H15" s="17" t="n">
        <f aca="false">SUM(H5:H14)</f>
        <v>1692455.62820434</v>
      </c>
      <c r="I15" s="17" t="n">
        <f aca="false">SUM(I5:I14)</f>
        <v>100021930.711365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15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5"/>
  </cols>
  <sheetData>
    <row r="1" customFormat="false" ht="15" hidden="false" customHeight="false" outlineLevel="0" collapsed="false">
      <c r="A1" s="9" t="s">
        <v>48</v>
      </c>
    </row>
    <row r="2" customFormat="false" ht="15" hidden="false" customHeight="false" outlineLevel="0" collapsed="false">
      <c r="A2" s="10" t="s">
        <v>23</v>
      </c>
    </row>
    <row r="4" customFormat="false" ht="23.85" hidden="false" customHeight="false" outlineLevel="0" collapsed="false">
      <c r="A4" s="11" t="s">
        <v>24</v>
      </c>
      <c r="B4" s="11" t="s">
        <v>25</v>
      </c>
      <c r="C4" s="11" t="s">
        <v>26</v>
      </c>
      <c r="D4" s="11" t="s">
        <v>27</v>
      </c>
      <c r="E4" s="11" t="s">
        <v>28</v>
      </c>
      <c r="F4" s="11" t="s">
        <v>29</v>
      </c>
      <c r="G4" s="11" t="s">
        <v>30</v>
      </c>
      <c r="H4" s="11" t="s">
        <v>31</v>
      </c>
      <c r="I4" s="11" t="s">
        <v>32</v>
      </c>
      <c r="J4" s="11" t="s">
        <v>33</v>
      </c>
      <c r="K4" s="11" t="s">
        <v>34</v>
      </c>
      <c r="L4" s="11" t="s">
        <v>35</v>
      </c>
    </row>
    <row r="5" customFormat="false" ht="15" hidden="false" customHeight="false" outlineLevel="0" collapsed="false">
      <c r="A5" s="2" t="s">
        <v>49</v>
      </c>
      <c r="B5" s="2" t="s">
        <v>37</v>
      </c>
      <c r="C5" s="12" t="n">
        <v>88000</v>
      </c>
      <c r="D5" s="13"/>
      <c r="E5" s="13"/>
      <c r="F5" s="14" t="n">
        <v>425.859985351563</v>
      </c>
      <c r="G5" s="14" t="n">
        <v>454.429992675781</v>
      </c>
      <c r="H5" s="7" t="n">
        <f aca="false">C5*(G5-F5)</f>
        <v>2514160.64453125</v>
      </c>
      <c r="I5" s="5" t="n">
        <v>39989839.3554688</v>
      </c>
      <c r="J5" s="15" t="n">
        <v>1</v>
      </c>
      <c r="K5" s="13"/>
      <c r="L5" s="13"/>
    </row>
    <row r="6" customFormat="false" ht="15" hidden="false" customHeight="false" outlineLevel="0" collapsed="false">
      <c r="A6" s="2" t="s">
        <v>50</v>
      </c>
      <c r="B6" s="2" t="s">
        <v>37</v>
      </c>
      <c r="C6" s="12" t="n">
        <v>42700</v>
      </c>
      <c r="D6" s="13"/>
      <c r="E6" s="13"/>
      <c r="F6" s="14" t="n">
        <v>170.671630859375</v>
      </c>
      <c r="G6" s="14" t="n">
        <v>187.529846191406</v>
      </c>
      <c r="H6" s="7" t="n">
        <f aca="false">C6*(G6-F6)</f>
        <v>719845.794677732</v>
      </c>
      <c r="I6" s="5" t="n">
        <v>8007524.43237305</v>
      </c>
      <c r="J6" s="15" t="n">
        <v>1</v>
      </c>
      <c r="K6" s="13"/>
      <c r="L6" s="13"/>
    </row>
    <row r="7" customFormat="false" ht="15" hidden="false" customHeight="false" outlineLevel="0" collapsed="false">
      <c r="A7" s="2" t="s">
        <v>51</v>
      </c>
      <c r="B7" s="2" t="s">
        <v>37</v>
      </c>
      <c r="C7" s="12" t="n">
        <v>9000</v>
      </c>
      <c r="D7" s="13"/>
      <c r="E7" s="13"/>
      <c r="F7" s="14" t="n">
        <v>765.572021484375</v>
      </c>
      <c r="G7" s="14" t="n">
        <v>665.380310058594</v>
      </c>
      <c r="H7" s="7" t="n">
        <f aca="false">C7*(G7-F7)</f>
        <v>-901725.402832031</v>
      </c>
      <c r="I7" s="5" t="n">
        <v>5988422.79052734</v>
      </c>
      <c r="J7" s="15" t="n">
        <v>1</v>
      </c>
      <c r="K7" s="13"/>
      <c r="L7" s="13"/>
    </row>
    <row r="8" customFormat="false" ht="15" hidden="false" customHeight="false" outlineLevel="0" collapsed="false">
      <c r="A8" s="2" t="s">
        <v>52</v>
      </c>
      <c r="B8" s="2" t="s">
        <v>37</v>
      </c>
      <c r="C8" s="12" t="n">
        <v>25800</v>
      </c>
      <c r="D8" s="13"/>
      <c r="E8" s="13"/>
      <c r="F8" s="14" t="n">
        <v>224.559997558594</v>
      </c>
      <c r="G8" s="14" t="n">
        <v>232.529998779297</v>
      </c>
      <c r="H8" s="7" t="n">
        <f aca="false">C8*(G8-F8)</f>
        <v>205626.03149414</v>
      </c>
      <c r="I8" s="5" t="n">
        <v>5999273.96850586</v>
      </c>
      <c r="J8" s="15" t="n">
        <v>1</v>
      </c>
      <c r="K8" s="13"/>
      <c r="L8" s="13"/>
    </row>
    <row r="9" customFormat="false" ht="15" hidden="false" customHeight="false" outlineLevel="0" collapsed="false">
      <c r="A9" s="16" t="s">
        <v>47</v>
      </c>
      <c r="H9" s="17" t="n">
        <f aca="false">SUM(H5:H8)</f>
        <v>2537907.06787109</v>
      </c>
      <c r="I9" s="17" t="n">
        <f aca="false">SUM(I5:I8)</f>
        <v>59985060.546875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15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5"/>
  </cols>
  <sheetData>
    <row r="1" customFormat="false" ht="15" hidden="false" customHeight="false" outlineLevel="0" collapsed="false">
      <c r="A1" s="9" t="s">
        <v>53</v>
      </c>
    </row>
    <row r="2" customFormat="false" ht="15" hidden="false" customHeight="false" outlineLevel="0" collapsed="false">
      <c r="A2" s="10" t="s">
        <v>23</v>
      </c>
    </row>
    <row r="4" customFormat="false" ht="23.85" hidden="false" customHeight="false" outlineLevel="0" collapsed="false">
      <c r="A4" s="11" t="s">
        <v>24</v>
      </c>
      <c r="B4" s="11" t="s">
        <v>25</v>
      </c>
      <c r="C4" s="11" t="s">
        <v>26</v>
      </c>
      <c r="D4" s="11" t="s">
        <v>27</v>
      </c>
      <c r="E4" s="11" t="s">
        <v>28</v>
      </c>
      <c r="F4" s="11" t="s">
        <v>29</v>
      </c>
      <c r="G4" s="11" t="s">
        <v>30</v>
      </c>
      <c r="H4" s="11" t="s">
        <v>31</v>
      </c>
      <c r="I4" s="11" t="s">
        <v>32</v>
      </c>
      <c r="J4" s="11" t="s">
        <v>33</v>
      </c>
      <c r="K4" s="11" t="s">
        <v>34</v>
      </c>
      <c r="L4" s="11" t="s">
        <v>35</v>
      </c>
    </row>
    <row r="5" customFormat="false" ht="15" hidden="false" customHeight="false" outlineLevel="0" collapsed="false">
      <c r="A5" s="2" t="s">
        <v>54</v>
      </c>
      <c r="B5" s="2" t="s">
        <v>37</v>
      </c>
      <c r="C5" s="12" t="n">
        <v>31900</v>
      </c>
      <c r="D5" s="13"/>
      <c r="E5" s="13"/>
      <c r="F5" s="14" t="n">
        <v>198.871719360352</v>
      </c>
      <c r="G5" s="14" t="n">
        <v>313.629241943359</v>
      </c>
      <c r="H5" s="7" t="n">
        <f aca="false">C5*(G5-F5)</f>
        <v>3660764.97039795</v>
      </c>
      <c r="I5" s="5" t="n">
        <v>10004772.8179932</v>
      </c>
      <c r="J5" s="15" t="n">
        <v>1</v>
      </c>
      <c r="K5" s="13"/>
      <c r="L5" s="13"/>
    </row>
    <row r="6" customFormat="false" ht="15" hidden="false" customHeight="false" outlineLevel="0" collapsed="false">
      <c r="A6" s="2" t="s">
        <v>55</v>
      </c>
      <c r="B6" s="2" t="s">
        <v>37</v>
      </c>
      <c r="C6" s="12" t="n">
        <v>181900</v>
      </c>
      <c r="D6" s="13"/>
      <c r="E6" s="13"/>
      <c r="F6" s="14" t="n">
        <v>45.4106330871582</v>
      </c>
      <c r="G6" s="14" t="n">
        <v>54.9692497253418</v>
      </c>
      <c r="H6" s="7" t="n">
        <f aca="false">C6*(G6-F6)</f>
        <v>1738712.3664856</v>
      </c>
      <c r="I6" s="5" t="n">
        <v>9998906.52503967</v>
      </c>
      <c r="J6" s="15" t="n">
        <v>1</v>
      </c>
      <c r="K6" s="13"/>
      <c r="L6" s="13"/>
    </row>
    <row r="7" customFormat="false" ht="15" hidden="false" customHeight="false" outlineLevel="0" collapsed="false">
      <c r="A7" s="2" t="s">
        <v>56</v>
      </c>
      <c r="B7" s="2" t="s">
        <v>37</v>
      </c>
      <c r="C7" s="12" t="n">
        <v>66300</v>
      </c>
      <c r="D7" s="13"/>
      <c r="E7" s="13"/>
      <c r="F7" s="14" t="n">
        <v>155.56379699707</v>
      </c>
      <c r="G7" s="14" t="n">
        <v>150.83447265625</v>
      </c>
      <c r="H7" s="7" t="n">
        <f aca="false">C7*(G7-F7)</f>
        <v>-313554.203796387</v>
      </c>
      <c r="I7" s="5" t="n">
        <v>10000325.5371094</v>
      </c>
      <c r="J7" s="15" t="n">
        <v>1</v>
      </c>
      <c r="K7" s="13"/>
      <c r="L7" s="13"/>
    </row>
    <row r="8" customFormat="false" ht="15" hidden="false" customHeight="false" outlineLevel="0" collapsed="false">
      <c r="A8" s="2" t="s">
        <v>57</v>
      </c>
      <c r="B8" s="2" t="s">
        <v>37</v>
      </c>
      <c r="C8" s="12" t="n">
        <v>17300</v>
      </c>
      <c r="D8" s="13"/>
      <c r="E8" s="13"/>
      <c r="F8" s="14" t="n">
        <v>560.388244628906</v>
      </c>
      <c r="G8" s="14" t="n">
        <v>576.553955078125</v>
      </c>
      <c r="H8" s="7" t="n">
        <f aca="false">C8*(G8-F8)</f>
        <v>279666.790771484</v>
      </c>
      <c r="I8" s="5" t="n">
        <v>9974383.42285156</v>
      </c>
      <c r="J8" s="15" t="n">
        <v>1</v>
      </c>
      <c r="K8" s="13"/>
      <c r="L8" s="13"/>
    </row>
    <row r="9" customFormat="false" ht="15" hidden="false" customHeight="false" outlineLevel="0" collapsed="false">
      <c r="A9" s="2" t="s">
        <v>58</v>
      </c>
      <c r="B9" s="2" t="s">
        <v>37</v>
      </c>
      <c r="C9" s="12" t="n">
        <v>43900</v>
      </c>
      <c r="D9" s="13"/>
      <c r="E9" s="13"/>
      <c r="F9" s="14" t="n">
        <v>194.216003417969</v>
      </c>
      <c r="G9" s="14" t="n">
        <v>227.906326293945</v>
      </c>
      <c r="H9" s="7" t="n">
        <f aca="false">C9*(G9-F9)</f>
        <v>1479005.17425537</v>
      </c>
      <c r="I9" s="5" t="n">
        <v>10005087.7243042</v>
      </c>
      <c r="J9" s="15" t="n">
        <v>1</v>
      </c>
      <c r="K9" s="13"/>
      <c r="L9" s="13"/>
    </row>
    <row r="10" customFormat="false" ht="15" hidden="false" customHeight="false" outlineLevel="0" collapsed="false">
      <c r="A10" s="2" t="s">
        <v>50</v>
      </c>
      <c r="B10" s="2" t="s">
        <v>59</v>
      </c>
      <c r="C10" s="12" t="n">
        <v>-62100</v>
      </c>
      <c r="D10" s="14" t="n">
        <v>161</v>
      </c>
      <c r="E10" s="18" t="n">
        <v>46097</v>
      </c>
      <c r="F10" s="14" t="n">
        <v>14.0165851701988</v>
      </c>
      <c r="G10" s="14" t="n">
        <v>5.50702343487323</v>
      </c>
      <c r="H10" s="7" t="n">
        <f aca="false">C10*(G10-F10)</f>
        <v>528443.783763715</v>
      </c>
      <c r="I10" s="5" t="n">
        <v>9998100</v>
      </c>
      <c r="J10" s="15" t="n">
        <v>-0.205450662280742</v>
      </c>
      <c r="K10" s="19" t="n">
        <v>0.00668497892505647</v>
      </c>
      <c r="L10" s="15" t="n">
        <v>0.243448862032407</v>
      </c>
    </row>
    <row r="11" customFormat="false" ht="15" hidden="false" customHeight="false" outlineLevel="0" collapsed="false">
      <c r="A11" s="2" t="s">
        <v>52</v>
      </c>
      <c r="B11" s="2" t="s">
        <v>59</v>
      </c>
      <c r="C11" s="12" t="n">
        <v>-47600</v>
      </c>
      <c r="D11" s="14" t="n">
        <v>210</v>
      </c>
      <c r="E11" s="18" t="n">
        <v>46117</v>
      </c>
      <c r="F11" s="14" t="n">
        <v>14.7109198511275</v>
      </c>
      <c r="G11" s="14" t="n">
        <v>6.06042470904554</v>
      </c>
      <c r="H11" s="7" t="n">
        <f aca="false">C11*(G11-F11)</f>
        <v>411763.568763103</v>
      </c>
      <c r="I11" s="5" t="n">
        <v>9996000</v>
      </c>
      <c r="J11" s="15" t="n">
        <v>-0.232992842385808</v>
      </c>
      <c r="K11" s="19" t="n">
        <v>0.00750316154131772</v>
      </c>
      <c r="L11" s="15" t="n">
        <v>0.364727930717301</v>
      </c>
    </row>
    <row r="12" customFormat="false" ht="15" hidden="false" customHeight="false" outlineLevel="0" collapsed="false">
      <c r="A12" s="2" t="s">
        <v>51</v>
      </c>
      <c r="B12" s="2" t="s">
        <v>59</v>
      </c>
      <c r="C12" s="12" t="n">
        <v>-14400</v>
      </c>
      <c r="D12" s="14" t="n">
        <v>694</v>
      </c>
      <c r="E12" s="18" t="n">
        <v>46121</v>
      </c>
      <c r="F12" s="14" t="n">
        <v>49.407527707445</v>
      </c>
      <c r="G12" s="14" t="n">
        <v>64.2736942842473</v>
      </c>
      <c r="H12" s="7" t="n">
        <f aca="false">C12*(G12-F12)</f>
        <v>-214072.798705953</v>
      </c>
      <c r="I12" s="5" t="n">
        <v>9993600</v>
      </c>
      <c r="J12" s="15" t="n">
        <v>-0.523679914886599</v>
      </c>
      <c r="K12" s="19" t="n">
        <v>0.00303515981357853</v>
      </c>
      <c r="L12" s="15" t="n">
        <v>1.38697176670088</v>
      </c>
    </row>
    <row r="13" customFormat="false" ht="15" hidden="false" customHeight="false" outlineLevel="0" collapsed="false">
      <c r="A13" s="16" t="s">
        <v>47</v>
      </c>
      <c r="H13" s="17" t="n">
        <f aca="false">SUM(H5:H12)</f>
        <v>7570729.65193488</v>
      </c>
      <c r="I13" s="17" t="n">
        <f aca="false">SUM(I5:I12)</f>
        <v>79971176.027298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9" t="s">
        <v>60</v>
      </c>
    </row>
    <row r="2" customFormat="false" ht="15" hidden="false" customHeight="false" outlineLevel="0" collapsed="false">
      <c r="A2" s="10" t="s">
        <v>61</v>
      </c>
    </row>
    <row r="4" customFormat="false" ht="15" hidden="false" customHeight="false" outlineLevel="0" collapsed="false">
      <c r="A4" s="11" t="s">
        <v>3</v>
      </c>
      <c r="B4" s="11" t="s">
        <v>62</v>
      </c>
      <c r="C4" s="11" t="s">
        <v>63</v>
      </c>
      <c r="D4" s="11" t="s">
        <v>64</v>
      </c>
      <c r="E4" s="11" t="s">
        <v>65</v>
      </c>
      <c r="F4" s="11" t="s">
        <v>66</v>
      </c>
      <c r="G4" s="11" t="s">
        <v>67</v>
      </c>
      <c r="H4" s="11" t="s">
        <v>68</v>
      </c>
    </row>
    <row r="5" customFormat="false" ht="15" hidden="false" customHeight="false" outlineLevel="0" collapsed="false">
      <c r="A5" s="2" t="s">
        <v>69</v>
      </c>
      <c r="B5" s="2" t="s">
        <v>70</v>
      </c>
      <c r="C5" s="13" t="n">
        <v>2250</v>
      </c>
      <c r="D5" s="13" t="n">
        <v>61</v>
      </c>
      <c r="E5" s="20" t="n">
        <f aca="false">D5/C5</f>
        <v>0.0271111111111111</v>
      </c>
      <c r="F5" s="21" t="n">
        <v>0.01</v>
      </c>
      <c r="G5" s="14" t="n">
        <v>45.3470430483183</v>
      </c>
      <c r="H5" s="15" t="n">
        <v>1.65036873056579E-011</v>
      </c>
    </row>
    <row r="6" customFormat="false" ht="15" hidden="false" customHeight="false" outlineLevel="0" collapsed="false">
      <c r="A6" s="2" t="s">
        <v>69</v>
      </c>
      <c r="B6" s="2" t="s">
        <v>71</v>
      </c>
      <c r="C6" s="13" t="n">
        <v>225</v>
      </c>
      <c r="D6" s="13" t="n">
        <v>5</v>
      </c>
      <c r="E6" s="20" t="n">
        <f aca="false">D6/C6</f>
        <v>0.0222222222222222</v>
      </c>
      <c r="F6" s="21" t="n">
        <v>0.01</v>
      </c>
      <c r="G6" s="14" t="n">
        <v>2.51916816281256</v>
      </c>
      <c r="H6" s="15" t="n">
        <v>0.112469899479223</v>
      </c>
    </row>
    <row r="7" customFormat="false" ht="15" hidden="false" customHeight="false" outlineLevel="0" collapsed="false">
      <c r="A7" s="2" t="s">
        <v>72</v>
      </c>
      <c r="B7" s="2" t="s">
        <v>70</v>
      </c>
      <c r="C7" s="13" t="n">
        <v>2250</v>
      </c>
      <c r="D7" s="13" t="n">
        <v>21</v>
      </c>
      <c r="E7" s="20" t="n">
        <f aca="false">D7/C7</f>
        <v>0.00933333333333333</v>
      </c>
      <c r="F7" s="21" t="n">
        <v>0.01</v>
      </c>
      <c r="G7" s="14" t="n">
        <v>0.1033092719004</v>
      </c>
      <c r="H7" s="15" t="n">
        <v>0.747893949262506</v>
      </c>
    </row>
    <row r="8" customFormat="false" ht="15" hidden="false" customHeight="false" outlineLevel="0" collapsed="false">
      <c r="A8" s="2" t="s">
        <v>72</v>
      </c>
      <c r="B8" s="2" t="s">
        <v>71</v>
      </c>
      <c r="C8" s="13" t="n">
        <v>225</v>
      </c>
      <c r="D8" s="13" t="n">
        <v>1</v>
      </c>
      <c r="E8" s="20" t="n">
        <f aca="false">D8/C8</f>
        <v>0.00444444444444444</v>
      </c>
      <c r="F8" s="21" t="n">
        <v>0.01</v>
      </c>
      <c r="G8" s="14" t="n">
        <v>0.885141073413612</v>
      </c>
      <c r="H8" s="15" t="n">
        <v>0.346797436460824</v>
      </c>
    </row>
    <row r="9" customFormat="false" ht="15" hidden="false" customHeight="false" outlineLevel="0" collapsed="false">
      <c r="A9" s="2" t="s">
        <v>73</v>
      </c>
      <c r="B9" s="2" t="s">
        <v>70</v>
      </c>
      <c r="C9" s="13" t="n">
        <v>2250</v>
      </c>
      <c r="D9" s="13" t="n">
        <v>73</v>
      </c>
      <c r="E9" s="20" t="n">
        <f aca="false">D9/C9</f>
        <v>0.0324444444444444</v>
      </c>
      <c r="F9" s="21" t="n">
        <v>0.01</v>
      </c>
      <c r="G9" s="14" t="n">
        <v>71.9874880901948</v>
      </c>
      <c r="H9" s="15" t="n">
        <v>0</v>
      </c>
    </row>
    <row r="10" customFormat="false" ht="15" hidden="false" customHeight="false" outlineLevel="0" collapsed="false">
      <c r="A10" s="2" t="s">
        <v>73</v>
      </c>
      <c r="B10" s="2" t="s">
        <v>71</v>
      </c>
      <c r="C10" s="13" t="n">
        <v>225</v>
      </c>
      <c r="D10" s="13" t="n">
        <v>6</v>
      </c>
      <c r="E10" s="20" t="n">
        <f aca="false">D10/C10</f>
        <v>0.0266666666666667</v>
      </c>
      <c r="F10" s="21" t="n">
        <v>0.01</v>
      </c>
      <c r="G10" s="14" t="n">
        <v>4.33343963406571</v>
      </c>
      <c r="H10" s="15" t="n">
        <v>0.0373706546155821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9" t="s">
        <v>74</v>
      </c>
    </row>
    <row r="3" customFormat="false" ht="15" hidden="false" customHeight="false" outlineLevel="0" collapsed="false">
      <c r="A3" s="16" t="s">
        <v>75</v>
      </c>
      <c r="B3" s="22" t="s">
        <v>76</v>
      </c>
    </row>
    <row r="4" customFormat="false" ht="15" hidden="false" customHeight="false" outlineLevel="0" collapsed="false">
      <c r="A4" s="16" t="s">
        <v>77</v>
      </c>
      <c r="B4" s="22" t="s">
        <v>78</v>
      </c>
    </row>
    <row r="5" customFormat="false" ht="15" hidden="false" customHeight="false" outlineLevel="0" collapsed="false">
      <c r="A5" s="16" t="s">
        <v>79</v>
      </c>
      <c r="B5" s="22" t="s">
        <v>80</v>
      </c>
    </row>
    <row r="6" customFormat="false" ht="15" hidden="false" customHeight="false" outlineLevel="0" collapsed="false">
      <c r="A6" s="16" t="s">
        <v>81</v>
      </c>
      <c r="B6" s="22" t="s">
        <v>82</v>
      </c>
    </row>
    <row r="7" customFormat="false" ht="15" hidden="false" customHeight="false" outlineLevel="0" collapsed="false">
      <c r="A7" s="16" t="s">
        <v>83</v>
      </c>
      <c r="B7" s="22" t="s">
        <v>84</v>
      </c>
    </row>
    <row r="8" customFormat="false" ht="15" hidden="false" customHeight="false" outlineLevel="0" collapsed="false">
      <c r="A8" s="16" t="s">
        <v>85</v>
      </c>
      <c r="B8" s="22" t="s">
        <v>86</v>
      </c>
    </row>
    <row r="9" customFormat="false" ht="15" hidden="false" customHeight="false" outlineLevel="0" collapsed="false">
      <c r="A9" s="16" t="s">
        <v>87</v>
      </c>
      <c r="B9" s="22" t="s">
        <v>88</v>
      </c>
    </row>
    <row r="10" customFormat="false" ht="15" hidden="false" customHeight="false" outlineLevel="0" collapsed="false">
      <c r="A10" s="16" t="s">
        <v>89</v>
      </c>
      <c r="B10" s="22" t="s">
        <v>90</v>
      </c>
    </row>
    <row r="11" customFormat="false" ht="15" hidden="false" customHeight="false" outlineLevel="0" collapsed="false">
      <c r="A11" s="16" t="s">
        <v>91</v>
      </c>
      <c r="B11" s="22" t="s">
        <v>92</v>
      </c>
    </row>
    <row r="12" customFormat="false" ht="15" hidden="false" customHeight="false" outlineLevel="0" collapsed="false">
      <c r="A12" s="16" t="s">
        <v>93</v>
      </c>
      <c r="B12" s="2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2026-10-03T12:05:24Z</dcterms:created>
  <dc:creator>openpyxl</dc:creator>
  <dc:description/>
  <dc:language>en-US</dc:language>
  <cp:lastModifiedBy/>
  <dcterms:modified xsi:type="dcterms:W3CDTF">2026-10-03T12:05:24Z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